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Grades" sheetId="1" state="visible" r:id="rId3"/>
    <sheet name="Summary Dashboard" sheetId="2" state="visible" r:id="rId4"/>
    <sheet name="Grade Key &amp;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<sst xmlns="http://schemas.openxmlformats.org/spreadsheetml/2006/main" count="86" uniqueCount="75">
  <si>
    <t xml:space="preserve">🎓  STUDENT GRADE MANAGEMENT SYSTEM</t>
  </si>
  <si>
    <t xml:space="preserve">Academic Year 2024-25  |  Class: XII-A  |  School: ABC Public School</t>
  </si>
  <si>
    <t xml:space="preserve">Roll No</t>
  </si>
  <si>
    <t xml:space="preserve">Student Name</t>
  </si>
  <si>
    <t xml:space="preserve">Math
(/100)</t>
  </si>
  <si>
    <t xml:space="preserve">Science
(/100)</t>
  </si>
  <si>
    <t xml:space="preserve">English
(/100)</t>
  </si>
  <si>
    <t xml:space="preserve">Hindi
(/100)</t>
  </si>
  <si>
    <t xml:space="preserve">S.Studies
(/100)</t>
  </si>
  <si>
    <t xml:space="preserve">Computer
(/100)</t>
  </si>
  <si>
    <t xml:space="preserve">Total
(/600)</t>
  </si>
  <si>
    <t xml:space="preserve">Percentage
(%)</t>
  </si>
  <si>
    <t xml:space="preserve">Grade</t>
  </si>
  <si>
    <t xml:space="preserve">Rank</t>
  </si>
  <si>
    <t xml:space="preserve">Pass/Fail</t>
  </si>
  <si>
    <t xml:space="preserve">Remarks</t>
  </si>
  <si>
    <t xml:space="preserve">Attendance
(%)</t>
  </si>
  <si>
    <t xml:space="preserve">Aarav Sharma</t>
  </si>
  <si>
    <t xml:space="preserve">Priya Singh</t>
  </si>
  <si>
    <t xml:space="preserve">Rohan Verma</t>
  </si>
  <si>
    <t xml:space="preserve">Anjali Gupta</t>
  </si>
  <si>
    <t xml:space="preserve">Vikram Patel</t>
  </si>
  <si>
    <t xml:space="preserve">Sneha Yadav</t>
  </si>
  <si>
    <t xml:space="preserve">Arjun Mehta</t>
  </si>
  <si>
    <t xml:space="preserve">Kavya Reddy</t>
  </si>
  <si>
    <t xml:space="preserve">Rahul Tiwari</t>
  </si>
  <si>
    <t xml:space="preserve">Nisha Joshi</t>
  </si>
  <si>
    <t xml:space="preserve">Amit Kumar</t>
  </si>
  <si>
    <t xml:space="preserve">Pooja Sharma</t>
  </si>
  <si>
    <t xml:space="preserve">Kiran Rao</t>
  </si>
  <si>
    <t xml:space="preserve">Suresh Nair</t>
  </si>
  <si>
    <t xml:space="preserve">Divya Agarwal</t>
  </si>
  <si>
    <t xml:space="preserve">Class Average</t>
  </si>
  <si>
    <t xml:space="preserve">Highest Marks</t>
  </si>
  <si>
    <t xml:space="preserve">Lowest Marks</t>
  </si>
  <si>
    <t xml:space="preserve">📊  CLASS PERFORMANCE SUMMARY</t>
  </si>
  <si>
    <t xml:space="preserve">Range</t>
  </si>
  <si>
    <t xml:space="preserve">No. of Students</t>
  </si>
  <si>
    <t xml:space="preserve">Percentage</t>
  </si>
  <si>
    <t xml:space="preserve">KEY STATISTICS</t>
  </si>
  <si>
    <t xml:space="preserve">A+</t>
  </si>
  <si>
    <t xml:space="preserve">90-100</t>
  </si>
  <si>
    <t xml:space="preserve">Total Students</t>
  </si>
  <si>
    <t xml:space="preserve">A</t>
  </si>
  <si>
    <t xml:space="preserve">80-89</t>
  </si>
  <si>
    <t xml:space="preserve">Students Passed</t>
  </si>
  <si>
    <t xml:space="preserve">B+</t>
  </si>
  <si>
    <t xml:space="preserve">70-79</t>
  </si>
  <si>
    <t xml:space="preserve">Students Failed</t>
  </si>
  <si>
    <t xml:space="preserve">B</t>
  </si>
  <si>
    <t xml:space="preserve">60-69</t>
  </si>
  <si>
    <t xml:space="preserve">Class Average %</t>
  </si>
  <si>
    <t xml:space="preserve">C</t>
  </si>
  <si>
    <t xml:space="preserve">50-59</t>
  </si>
  <si>
    <t xml:space="preserve">Highest Score %</t>
  </si>
  <si>
    <t xml:space="preserve">D</t>
  </si>
  <si>
    <t xml:space="preserve">40-49</t>
  </si>
  <si>
    <t xml:space="preserve">Lowest Score %</t>
  </si>
  <si>
    <t xml:space="preserve">F</t>
  </si>
  <si>
    <t xml:space="preserve">Below 40</t>
  </si>
  <si>
    <t xml:space="preserve">📋  GRADING SCALE &amp; INFORMATION</t>
  </si>
  <si>
    <t xml:space="preserve">90-100%</t>
  </si>
  <si>
    <t xml:space="preserve">Outstanding</t>
  </si>
  <si>
    <t xml:space="preserve">80-89%</t>
  </si>
  <si>
    <t xml:space="preserve">Excellent</t>
  </si>
  <si>
    <t xml:space="preserve">70-79%</t>
  </si>
  <si>
    <t xml:space="preserve">Very Good</t>
  </si>
  <si>
    <t xml:space="preserve">60-69%</t>
  </si>
  <si>
    <t xml:space="preserve">Good</t>
  </si>
  <si>
    <t xml:space="preserve">50-59%</t>
  </si>
  <si>
    <t xml:space="preserve">Average</t>
  </si>
  <si>
    <t xml:space="preserve">40-49%</t>
  </si>
  <si>
    <t xml:space="preserve">Below Average</t>
  </si>
  <si>
    <t xml:space="preserve">&lt;40%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</si>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</sst>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\%"/>
    <numFmt numFmtId="167" formatCode="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874A6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AED6F1"/>
      </patternFill>
    </fill>
    <fill>
      <patternFill patternType="solid">
        <fgColor rgb="FFF2F2F2"/>
        <bgColor rgb="FFFFFFFF"/>
      </patternFill>
    </fill>
    <fill>
      <patternFill patternType="solid">
        <fgColor rgb="FF70AD47"/>
        <bgColor rgb="FF99CC00"/>
      </patternFill>
    </fill>
    <fill>
      <patternFill patternType="solid">
        <fgColor rgb="FFFF0000"/>
        <bgColor rgb="FFC0392B"/>
      </patternFill>
    </fill>
    <fill>
      <patternFill patternType="solid">
        <fgColor rgb="FF1A5276"/>
        <bgColor rgb="FF1F618D"/>
      </patternFill>
    </fill>
    <fill>
      <patternFill patternType="solid">
        <fgColor rgb="FF1F618D"/>
        <bgColor rgb="FF1A5276"/>
      </patternFill>
    </fill>
    <fill>
      <patternFill patternType="solid">
        <fgColor rgb="FF2874A6"/>
        <bgColor rgb="FF2E75B6"/>
      </patternFill>
    </fill>
    <fill>
      <patternFill patternType="solid">
        <fgColor rgb="FFC0392B"/>
        <bgColor rgb="FF993366"/>
      </patternFill>
    </fill>
    <fill>
      <patternFill patternType="solid">
        <fgColor rgb="FF2E86C1"/>
        <bgColor rgb="FF2E75B6"/>
      </patternFill>
    </fill>
    <fill>
      <patternFill patternType="solid">
        <fgColor rgb="FF8E44AD"/>
        <bgColor rgb="FF993366"/>
      </patternFill>
    </fill>
    <fill>
      <patternFill patternType="solid">
        <fgColor rgb="FF3498DB"/>
        <bgColor rgb="FF2E86C1"/>
      </patternFill>
    </fill>
    <fill>
      <patternFill patternType="solid">
        <fgColor rgb="FF27AE60"/>
        <bgColor rgb="FF70AD47"/>
      </patternFill>
    </fill>
    <fill>
      <patternFill patternType="solid">
        <fgColor rgb="FF5DADE2"/>
        <bgColor rgb="FF85C1E9"/>
      </patternFill>
    </fill>
    <fill>
      <patternFill patternType="solid">
        <fgColor rgb="FFE67E22"/>
        <bgColor rgb="FFFF9900"/>
      </patternFill>
    </fill>
    <fill>
      <patternFill patternType="solid">
        <fgColor rgb="FF85C1E9"/>
        <bgColor rgb="FF5DADE2"/>
      </patternFill>
    </fill>
    <fill>
      <patternFill patternType="solid">
        <fgColor rgb="FFAED6F1"/>
        <bgColor rgb="FFBDD7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874A6"/>
      <rgbColor rgb="FFBFBFBF"/>
      <rgbColor rgb="FF808080"/>
      <rgbColor rgb="FF85C1E9"/>
      <rgbColor rgb="FF8E44AD"/>
      <rgbColor rgb="FFF2F2F2"/>
      <rgbColor rgb="FFCCFFFF"/>
      <rgbColor rgb="FF660066"/>
      <rgbColor rgb="FFFF8080"/>
      <rgbColor rgb="FF1F618D"/>
      <rgbColor rgb="FFBDD7EE"/>
      <rgbColor rgb="FF000080"/>
      <rgbColor rgb="FFFF00FF"/>
      <rgbColor rgb="FFFFFF00"/>
      <rgbColor rgb="FF00FFFF"/>
      <rgbColor rgb="FF800080"/>
      <rgbColor rgb="FF800000"/>
      <rgbColor rgb="FF2E86C1"/>
      <rgbColor rgb="FF0000FF"/>
      <rgbColor rgb="FF3498DB"/>
      <rgbColor rgb="FFCCFFFF"/>
      <rgbColor rgb="FFCCFFCC"/>
      <rgbColor rgb="FFFFFF99"/>
      <rgbColor rgb="FFAED6F1"/>
      <rgbColor rgb="FFFF99CC"/>
      <rgbColor rgb="FFCC99FF"/>
      <rgbColor rgb="FFFFCC99"/>
      <rgbColor rgb="FF2E75B6"/>
      <rgbColor rgb="FF5DADE2"/>
      <rgbColor rgb="FF99CC00"/>
      <rgbColor rgb="FFFFCC00"/>
      <rgbColor rgb="FFFF9900"/>
      <rgbColor rgb="FFE67E22"/>
      <rgbColor rgb="FF666699"/>
      <rgbColor rgb="FF70AD47"/>
      <rgbColor rgb="FF1F3864"/>
      <rgbColor rgb="FF27AE60"/>
      <rgbColor rgb="FF003300"/>
      <rgbColor rgb="FF333300"/>
      <rgbColor rgb="FFC0392B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9" min="3" style="0" width="10"/>
    <col collapsed="false" customWidth="true" hidden="false" outlineLevel="0" max="10" min="10" style="0" width="12"/>
    <col collapsed="false" customWidth="true" hidden="false" outlineLevel="0" max="12" min="11" style="0" width="8"/>
    <col collapsed="false" customWidth="true" hidden="false" outlineLevel="0" max="13" min="13" style="0" width="10"/>
    <col collapsed="false" customWidth="true" hidden="false" outlineLevel="0" max="14" min="14" style="0" width="20"/>
    <col collapsed="false" customWidth="true" hidden="false" outlineLevel="0" max="15" min="15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n">
        <v>1</v>
      </c>
      <c r="B5" s="5" t="s">
        <v>17</v>
      </c>
      <c r="C5" s="4" t="n">
        <v>88</v>
      </c>
      <c r="D5" s="4" t="n">
        <v>92</v>
      </c>
      <c r="E5" s="4" t="n">
        <v>76</v>
      </c>
      <c r="F5" s="4" t="n">
        <v>85</v>
      </c>
      <c r="G5" s="4" t="n">
        <v>80</v>
      </c>
      <c r="H5" s="4" t="n">
        <v>91</v>
      </c>
      <c r="I5" s="6" t="n">
        <f aca="false">SUM(C5:H5)</f>
        <v>512</v>
      </c>
      <c r="J5" s="7" t="n">
        <f aca="false">ROUND(I5/600*100,2)</f>
        <v>85.33</v>
      </c>
      <c r="K5" s="8" t="str">
        <f aca="false">IF(J5&gt;=90,"A+",IF(J5&gt;=80,"A",IF(J5&gt;=70,"B+",IF(J5&gt;=60,"B",IF(J5&gt;=50,"C",IF(J5&gt;=40,"D","F"))))))</f>
        <v>A</v>
      </c>
      <c r="L5" s="4" t="n">
        <f aca="false">RANK(J5,J$5:J$19,0)</f>
        <v>6</v>
      </c>
      <c r="M5" s="4" t="str">
        <f aca="false">IF(AND(C5&gt;=35,D5&gt;=35,E5&gt;=35,F5&gt;=35,G5&gt;=35,H5&gt;=35),"✅ PASS","❌ FAIL")</f>
        <v>✅ PASS</v>
      </c>
      <c r="N5" s="4" t="str">
        <f aca="false">IF(J5&gt;=90,"Outstanding",IF(J5&gt;=80,"Excellent",IF(J5&gt;=70,"Very Good",IF(J5&gt;=60,"Good",IF(J5&gt;=50,"Average","Needs Improvement")))))</f>
        <v>Excellent</v>
      </c>
      <c r="O5" s="9" t="n">
        <v>92</v>
      </c>
    </row>
    <row r="6" customFormat="false" ht="15" hidden="false" customHeight="false" outlineLevel="0" collapsed="false">
      <c r="A6" s="10" t="n">
        <v>2</v>
      </c>
      <c r="B6" s="11" t="s">
        <v>18</v>
      </c>
      <c r="C6" s="10" t="n">
        <v>95</v>
      </c>
      <c r="D6" s="10" t="n">
        <v>88</v>
      </c>
      <c r="E6" s="10" t="n">
        <v>91</v>
      </c>
      <c r="F6" s="10" t="n">
        <v>78</v>
      </c>
      <c r="G6" s="10" t="n">
        <v>87</v>
      </c>
      <c r="H6" s="10" t="n">
        <v>93</v>
      </c>
      <c r="I6" s="6" t="n">
        <f aca="false">SUM(C6:H6)</f>
        <v>532</v>
      </c>
      <c r="J6" s="12" t="n">
        <f aca="false">ROUND(I6/600*100,2)</f>
        <v>88.67</v>
      </c>
      <c r="K6" s="13" t="str">
        <f aca="false">IF(J6&gt;=90,"A+",IF(J6&gt;=80,"A",IF(J6&gt;=70,"B+",IF(J6&gt;=60,"B",IF(J6&gt;=50,"C",IF(J6&gt;=40,"D","F"))))))</f>
        <v>A</v>
      </c>
      <c r="L6" s="10" t="n">
        <f aca="false">RANK(J6,J$5:J$19,0)</f>
        <v>4</v>
      </c>
      <c r="M6" s="10" t="str">
        <f aca="false">IF(AND(C6&gt;=35,D6&gt;=35,E6&gt;=35,F6&gt;=35,G6&gt;=35,H6&gt;=35),"✅ PASS","❌ FAIL")</f>
        <v>✅ PASS</v>
      </c>
      <c r="N6" s="10" t="str">
        <f aca="false">IF(J6&gt;=90,"Outstanding",IF(J6&gt;=80,"Excellent",IF(J6&gt;=70,"Very Good",IF(J6&gt;=60,"Good",IF(J6&gt;=50,"Average","Needs Improvement")))))</f>
        <v>Excellent</v>
      </c>
      <c r="O6" s="14" t="n">
        <v>97</v>
      </c>
    </row>
    <row r="7" customFormat="false" ht="15" hidden="false" customHeight="false" outlineLevel="0" collapsed="false">
      <c r="A7" s="4" t="n">
        <v>3</v>
      </c>
      <c r="B7" s="5" t="s">
        <v>19</v>
      </c>
      <c r="C7" s="4" t="n">
        <v>72</v>
      </c>
      <c r="D7" s="4" t="n">
        <v>65</v>
      </c>
      <c r="E7" s="4" t="n">
        <v>80</v>
      </c>
      <c r="F7" s="4" t="n">
        <v>70</v>
      </c>
      <c r="G7" s="4" t="n">
        <v>68</v>
      </c>
      <c r="H7" s="4" t="n">
        <v>75</v>
      </c>
      <c r="I7" s="6" t="n">
        <f aca="false">SUM(C7:H7)</f>
        <v>430</v>
      </c>
      <c r="J7" s="7" t="n">
        <f aca="false">ROUND(I7/600*100,2)</f>
        <v>71.67</v>
      </c>
      <c r="K7" s="8" t="str">
        <f aca="false">IF(J7&gt;=90,"A+",IF(J7&gt;=80,"A",IF(J7&gt;=70,"B+",IF(J7&gt;=60,"B",IF(J7&gt;=50,"C",IF(J7&gt;=40,"D","F"))))))</f>
        <v>B+</v>
      </c>
      <c r="L7" s="4" t="n">
        <f aca="false">RANK(J7,J$5:J$19,0)</f>
        <v>11</v>
      </c>
      <c r="M7" s="4" t="str">
        <f aca="false">IF(AND(C7&gt;=35,D7&gt;=35,E7&gt;=35,F7&gt;=35,G7&gt;=35,H7&gt;=35),"✅ PASS","❌ FAIL")</f>
        <v>✅ PASS</v>
      </c>
      <c r="N7" s="4" t="str">
        <f aca="false">IF(J7&gt;=90,"Outstanding",IF(J7&gt;=80,"Excellent",IF(J7&gt;=70,"Very Good",IF(J7&gt;=60,"Good",IF(J7&gt;=50,"Average","Needs Improvement")))))</f>
        <v>Very Good</v>
      </c>
      <c r="O7" s="9" t="n">
        <v>85</v>
      </c>
    </row>
    <row r="8" customFormat="false" ht="15" hidden="false" customHeight="false" outlineLevel="0" collapsed="false">
      <c r="A8" s="10" t="n">
        <v>4</v>
      </c>
      <c r="B8" s="11" t="s">
        <v>20</v>
      </c>
      <c r="C8" s="10" t="n">
        <v>85</v>
      </c>
      <c r="D8" s="10" t="n">
        <v>90</v>
      </c>
      <c r="E8" s="10" t="n">
        <v>88</v>
      </c>
      <c r="F8" s="10" t="n">
        <v>92</v>
      </c>
      <c r="G8" s="10" t="n">
        <v>91</v>
      </c>
      <c r="H8" s="10" t="n">
        <v>89</v>
      </c>
      <c r="I8" s="6" t="n">
        <f aca="false">SUM(C8:H8)</f>
        <v>535</v>
      </c>
      <c r="J8" s="12" t="n">
        <f aca="false">ROUND(I8/600*100,2)</f>
        <v>89.17</v>
      </c>
      <c r="K8" s="13" t="str">
        <f aca="false">IF(J8&gt;=90,"A+",IF(J8&gt;=80,"A",IF(J8&gt;=70,"B+",IF(J8&gt;=60,"B",IF(J8&gt;=50,"C",IF(J8&gt;=40,"D","F"))))))</f>
        <v>A</v>
      </c>
      <c r="L8" s="10" t="n">
        <f aca="false">RANK(J8,J$5:J$19,0)</f>
        <v>3</v>
      </c>
      <c r="M8" s="10" t="str">
        <f aca="false">IF(AND(C8&gt;=35,D8&gt;=35,E8&gt;=35,F8&gt;=35,G8&gt;=35,H8&gt;=35),"✅ PASS","❌ FAIL")</f>
        <v>✅ PASS</v>
      </c>
      <c r="N8" s="10" t="str">
        <f aca="false">IF(J8&gt;=90,"Outstanding",IF(J8&gt;=80,"Excellent",IF(J8&gt;=70,"Very Good",IF(J8&gt;=60,"Good",IF(J8&gt;=50,"Average","Needs Improvement")))))</f>
        <v>Excellent</v>
      </c>
      <c r="O8" s="14" t="n">
        <v>99</v>
      </c>
    </row>
    <row r="9" customFormat="false" ht="15" hidden="false" customHeight="false" outlineLevel="0" collapsed="false">
      <c r="A9" s="4" t="n">
        <v>5</v>
      </c>
      <c r="B9" s="5" t="s">
        <v>21</v>
      </c>
      <c r="C9" s="4" t="n">
        <v>60</v>
      </c>
      <c r="D9" s="4" t="n">
        <v>58</v>
      </c>
      <c r="E9" s="4" t="n">
        <v>65</v>
      </c>
      <c r="F9" s="4" t="n">
        <v>72</v>
      </c>
      <c r="G9" s="4" t="n">
        <v>62</v>
      </c>
      <c r="H9" s="4" t="n">
        <v>55</v>
      </c>
      <c r="I9" s="6" t="n">
        <f aca="false">SUM(C9:H9)</f>
        <v>372</v>
      </c>
      <c r="J9" s="7" t="n">
        <f aca="false">ROUND(I9/600*100,2)</f>
        <v>62</v>
      </c>
      <c r="K9" s="8" t="str">
        <f aca="false">IF(J9&gt;=90,"A+",IF(J9&gt;=80,"A",IF(J9&gt;=70,"B+",IF(J9&gt;=60,"B",IF(J9&gt;=50,"C",IF(J9&gt;=40,"D","F"))))))</f>
        <v>B</v>
      </c>
      <c r="L9" s="4" t="n">
        <f aca="false">RANK(J9,J$5:J$19,0)</f>
        <v>13</v>
      </c>
      <c r="M9" s="4" t="str">
        <f aca="false">IF(AND(C9&gt;=35,D9&gt;=35,E9&gt;=35,F9&gt;=35,G9&gt;=35,H9&gt;=35),"✅ PASS","❌ FAIL")</f>
        <v>✅ PASS</v>
      </c>
      <c r="N9" s="4" t="str">
        <f aca="false">IF(J9&gt;=90,"Outstanding",IF(J9&gt;=80,"Excellent",IF(J9&gt;=70,"Very Good",IF(J9&gt;=60,"Good",IF(J9&gt;=50,"Average","Needs Improvement")))))</f>
        <v>Good</v>
      </c>
      <c r="O9" s="9" t="n">
        <v>78</v>
      </c>
    </row>
    <row r="10" customFormat="false" ht="15" hidden="false" customHeight="false" outlineLevel="0" collapsed="false">
      <c r="A10" s="10" t="n">
        <v>6</v>
      </c>
      <c r="B10" s="11" t="s">
        <v>22</v>
      </c>
      <c r="C10" s="10" t="n">
        <v>78</v>
      </c>
      <c r="D10" s="10" t="n">
        <v>82</v>
      </c>
      <c r="E10" s="10" t="n">
        <v>74</v>
      </c>
      <c r="F10" s="10" t="n">
        <v>80</v>
      </c>
      <c r="G10" s="10" t="n">
        <v>76</v>
      </c>
      <c r="H10" s="10" t="n">
        <v>85</v>
      </c>
      <c r="I10" s="6" t="n">
        <f aca="false">SUM(C10:H10)</f>
        <v>475</v>
      </c>
      <c r="J10" s="12" t="n">
        <f aca="false">ROUND(I10/600*100,2)</f>
        <v>79.17</v>
      </c>
      <c r="K10" s="13" t="str">
        <f aca="false">IF(J10&gt;=90,"A+",IF(J10&gt;=80,"A",IF(J10&gt;=70,"B+",IF(J10&gt;=60,"B",IF(J10&gt;=50,"C",IF(J10&gt;=40,"D","F"))))))</f>
        <v>B+</v>
      </c>
      <c r="L10" s="10" t="n">
        <f aca="false">RANK(J10,J$5:J$19,0)</f>
        <v>8</v>
      </c>
      <c r="M10" s="10" t="str">
        <f aca="false">IF(AND(C10&gt;=35,D10&gt;=35,E10&gt;=35,F10&gt;=35,G10&gt;=35,H10&gt;=35),"✅ PASS","❌ FAIL")</f>
        <v>✅ PASS</v>
      </c>
      <c r="N10" s="10" t="str">
        <f aca="false">IF(J10&gt;=90,"Outstanding",IF(J10&gt;=80,"Excellent",IF(J10&gt;=70,"Very Good",IF(J10&gt;=60,"Good",IF(J10&gt;=50,"Average","Needs Improvement")))))</f>
        <v>Very Good</v>
      </c>
      <c r="O10" s="14" t="n">
        <v>90</v>
      </c>
    </row>
    <row r="11" customFormat="false" ht="15" hidden="false" customHeight="false" outlineLevel="0" collapsed="false">
      <c r="A11" s="4" t="n">
        <v>7</v>
      </c>
      <c r="B11" s="5" t="s">
        <v>23</v>
      </c>
      <c r="C11" s="4" t="n">
        <v>91</v>
      </c>
      <c r="D11" s="4" t="n">
        <v>95</v>
      </c>
      <c r="E11" s="4" t="n">
        <v>89</v>
      </c>
      <c r="F11" s="4" t="n">
        <v>85</v>
      </c>
      <c r="G11" s="4" t="n">
        <v>93</v>
      </c>
      <c r="H11" s="4" t="n">
        <v>97</v>
      </c>
      <c r="I11" s="6" t="n">
        <f aca="false">SUM(C11:H11)</f>
        <v>550</v>
      </c>
      <c r="J11" s="7" t="n">
        <f aca="false">ROUND(I11/600*100,2)</f>
        <v>91.67</v>
      </c>
      <c r="K11" s="8" t="str">
        <f aca="false">IF(J11&gt;=90,"A+",IF(J11&gt;=80,"A",IF(J11&gt;=70,"B+",IF(J11&gt;=60,"B",IF(J11&gt;=50,"C",IF(J11&gt;=40,"D","F"))))))</f>
        <v>A+</v>
      </c>
      <c r="L11" s="4" t="n">
        <f aca="false">RANK(J11,J$5:J$19,0)</f>
        <v>2</v>
      </c>
      <c r="M11" s="4" t="str">
        <f aca="false">IF(AND(C11&gt;=35,D11&gt;=35,E11&gt;=35,F11&gt;=35,G11&gt;=35,H11&gt;=35),"✅ PASS","❌ FAIL")</f>
        <v>✅ PASS</v>
      </c>
      <c r="N11" s="4" t="str">
        <f aca="false">IF(J11&gt;=90,"Outstanding",IF(J11&gt;=80,"Excellent",IF(J11&gt;=70,"Very Good",IF(J11&gt;=60,"Good",IF(J11&gt;=50,"Average","Needs Improvement")))))</f>
        <v>Outstanding</v>
      </c>
      <c r="O11" s="9" t="n">
        <v>98</v>
      </c>
    </row>
    <row r="12" customFormat="false" ht="15" hidden="false" customHeight="false" outlineLevel="0" collapsed="false">
      <c r="A12" s="10" t="n">
        <v>8</v>
      </c>
      <c r="B12" s="11" t="s">
        <v>24</v>
      </c>
      <c r="C12" s="10" t="n">
        <v>55</v>
      </c>
      <c r="D12" s="10" t="n">
        <v>60</v>
      </c>
      <c r="E12" s="10" t="n">
        <v>70</v>
      </c>
      <c r="F12" s="10" t="n">
        <v>65</v>
      </c>
      <c r="G12" s="10" t="n">
        <v>58</v>
      </c>
      <c r="H12" s="10" t="n">
        <v>62</v>
      </c>
      <c r="I12" s="6" t="n">
        <f aca="false">SUM(C12:H12)</f>
        <v>370</v>
      </c>
      <c r="J12" s="12" t="n">
        <f aca="false">ROUND(I12/600*100,2)</f>
        <v>61.67</v>
      </c>
      <c r="K12" s="13" t="str">
        <f aca="false">IF(J12&gt;=90,"A+",IF(J12&gt;=80,"A",IF(J12&gt;=70,"B+",IF(J12&gt;=60,"B",IF(J12&gt;=50,"C",IF(J12&gt;=40,"D","F"))))))</f>
        <v>B</v>
      </c>
      <c r="L12" s="10" t="n">
        <f aca="false">RANK(J12,J$5:J$19,0)</f>
        <v>14</v>
      </c>
      <c r="M12" s="10" t="str">
        <f aca="false">IF(AND(C12&gt;=35,D12&gt;=35,E12&gt;=35,F12&gt;=35,G12&gt;=35,H12&gt;=35),"✅ PASS","❌ FAIL")</f>
        <v>✅ PASS</v>
      </c>
      <c r="N12" s="10" t="str">
        <f aca="false">IF(J12&gt;=90,"Outstanding",IF(J12&gt;=80,"Excellent",IF(J12&gt;=70,"Very Good",IF(J12&gt;=60,"Good",IF(J12&gt;=50,"Average","Needs Improvement")))))</f>
        <v>Good</v>
      </c>
      <c r="O12" s="14" t="n">
        <v>72</v>
      </c>
    </row>
    <row r="13" customFormat="false" ht="15" hidden="false" customHeight="false" outlineLevel="0" collapsed="false">
      <c r="A13" s="4" t="n">
        <v>9</v>
      </c>
      <c r="B13" s="5" t="s">
        <v>25</v>
      </c>
      <c r="C13" s="4" t="n">
        <v>82</v>
      </c>
      <c r="D13" s="4" t="n">
        <v>78</v>
      </c>
      <c r="E13" s="4" t="n">
        <v>85</v>
      </c>
      <c r="F13" s="4" t="n">
        <v>79</v>
      </c>
      <c r="G13" s="4" t="n">
        <v>81</v>
      </c>
      <c r="H13" s="4" t="n">
        <v>84</v>
      </c>
      <c r="I13" s="6" t="n">
        <f aca="false">SUM(C13:H13)</f>
        <v>489</v>
      </c>
      <c r="J13" s="7" t="n">
        <f aca="false">ROUND(I13/600*100,2)</f>
        <v>81.5</v>
      </c>
      <c r="K13" s="8" t="str">
        <f aca="false">IF(J13&gt;=90,"A+",IF(J13&gt;=80,"A",IF(J13&gt;=70,"B+",IF(J13&gt;=60,"B",IF(J13&gt;=50,"C",IF(J13&gt;=40,"D","F"))))))</f>
        <v>A</v>
      </c>
      <c r="L13" s="4" t="n">
        <f aca="false">RANK(J13,J$5:J$19,0)</f>
        <v>7</v>
      </c>
      <c r="M13" s="4" t="str">
        <f aca="false">IF(AND(C13&gt;=35,D13&gt;=35,E13&gt;=35,F13&gt;=35,G13&gt;=35,H13&gt;=35),"✅ PASS","❌ FAIL")</f>
        <v>✅ PASS</v>
      </c>
      <c r="N13" s="4" t="str">
        <f aca="false">IF(J13&gt;=90,"Outstanding",IF(J13&gt;=80,"Excellent",IF(J13&gt;=70,"Very Good",IF(J13&gt;=60,"Good",IF(J13&gt;=50,"Average","Needs Improvement")))))</f>
        <v>Excellent</v>
      </c>
      <c r="O13" s="9" t="n">
        <v>94</v>
      </c>
    </row>
    <row r="14" customFormat="false" ht="15" hidden="false" customHeight="false" outlineLevel="0" collapsed="false">
      <c r="A14" s="10" t="n">
        <v>10</v>
      </c>
      <c r="B14" s="11" t="s">
        <v>26</v>
      </c>
      <c r="C14" s="10" t="n">
        <v>70</v>
      </c>
      <c r="D14" s="10" t="n">
        <v>74</v>
      </c>
      <c r="E14" s="10" t="n">
        <v>68</v>
      </c>
      <c r="F14" s="10" t="n">
        <v>75</v>
      </c>
      <c r="G14" s="10" t="n">
        <v>72</v>
      </c>
      <c r="H14" s="10" t="n">
        <v>78</v>
      </c>
      <c r="I14" s="6" t="n">
        <f aca="false">SUM(C14:H14)</f>
        <v>437</v>
      </c>
      <c r="J14" s="12" t="n">
        <f aca="false">ROUND(I14/600*100,2)</f>
        <v>72.83</v>
      </c>
      <c r="K14" s="13" t="str">
        <f aca="false">IF(J14&gt;=90,"A+",IF(J14&gt;=80,"A",IF(J14&gt;=70,"B+",IF(J14&gt;=60,"B",IF(J14&gt;=50,"C",IF(J14&gt;=40,"D","F"))))))</f>
        <v>B+</v>
      </c>
      <c r="L14" s="10" t="n">
        <f aca="false">RANK(J14,J$5:J$19,0)</f>
        <v>10</v>
      </c>
      <c r="M14" s="10" t="str">
        <f aca="false">IF(AND(C14&gt;=35,D14&gt;=35,E14&gt;=35,F14&gt;=35,G14&gt;=35,H14&gt;=35),"✅ PASS","❌ FAIL")</f>
        <v>✅ PASS</v>
      </c>
      <c r="N14" s="10" t="str">
        <f aca="false">IF(J14&gt;=90,"Outstanding",IF(J14&gt;=80,"Excellent",IF(J14&gt;=70,"Very Good",IF(J14&gt;=60,"Good",IF(J14&gt;=50,"Average","Needs Improvement")))))</f>
        <v>Very Good</v>
      </c>
      <c r="O14" s="14" t="n">
        <v>88</v>
      </c>
    </row>
    <row r="15" customFormat="false" ht="15" hidden="false" customHeight="false" outlineLevel="0" collapsed="false">
      <c r="A15" s="4" t="n">
        <v>11</v>
      </c>
      <c r="B15" s="5" t="s">
        <v>27</v>
      </c>
      <c r="C15" s="4" t="n">
        <v>45</v>
      </c>
      <c r="D15" s="4" t="n">
        <v>50</v>
      </c>
      <c r="E15" s="4" t="n">
        <v>55</v>
      </c>
      <c r="F15" s="4" t="n">
        <v>60</v>
      </c>
      <c r="G15" s="4" t="n">
        <v>48</v>
      </c>
      <c r="H15" s="4" t="n">
        <v>52</v>
      </c>
      <c r="I15" s="6" t="n">
        <f aca="false">SUM(C15:H15)</f>
        <v>310</v>
      </c>
      <c r="J15" s="7" t="n">
        <f aca="false">ROUND(I15/600*100,2)</f>
        <v>51.67</v>
      </c>
      <c r="K15" s="8" t="str">
        <f aca="false">IF(J15&gt;=90,"A+",IF(J15&gt;=80,"A",IF(J15&gt;=70,"B+",IF(J15&gt;=60,"B",IF(J15&gt;=50,"C",IF(J15&gt;=40,"D","F"))))))</f>
        <v>C</v>
      </c>
      <c r="L15" s="4" t="n">
        <f aca="false">RANK(J15,J$5:J$19,0)</f>
        <v>15</v>
      </c>
      <c r="M15" s="4" t="str">
        <f aca="false">IF(AND(C15&gt;=35,D15&gt;=35,E15&gt;=35,F15&gt;=35,G15&gt;=35,H15&gt;=35),"✅ PASS","❌ FAIL")</f>
        <v>✅ PASS</v>
      </c>
      <c r="N15" s="4" t="str">
        <f aca="false">IF(J15&gt;=90,"Outstanding",IF(J15&gt;=80,"Excellent",IF(J15&gt;=70,"Very Good",IF(J15&gt;=60,"Good",IF(J15&gt;=50,"Average","Needs Improvement")))))</f>
        <v>Average</v>
      </c>
      <c r="O15" s="9" t="n">
        <v>68</v>
      </c>
    </row>
    <row r="16" customFormat="false" ht="15" hidden="false" customHeight="false" outlineLevel="0" collapsed="false">
      <c r="A16" s="10" t="n">
        <v>12</v>
      </c>
      <c r="B16" s="11" t="s">
        <v>28</v>
      </c>
      <c r="C16" s="10" t="n">
        <v>88</v>
      </c>
      <c r="D16" s="10" t="n">
        <v>84</v>
      </c>
      <c r="E16" s="10" t="n">
        <v>90</v>
      </c>
      <c r="F16" s="10" t="n">
        <v>88</v>
      </c>
      <c r="G16" s="10" t="n">
        <v>86</v>
      </c>
      <c r="H16" s="10" t="n">
        <v>91</v>
      </c>
      <c r="I16" s="6" t="n">
        <f aca="false">SUM(C16:H16)</f>
        <v>527</v>
      </c>
      <c r="J16" s="12" t="n">
        <f aca="false">ROUND(I16/600*100,2)</f>
        <v>87.83</v>
      </c>
      <c r="K16" s="13" t="str">
        <f aca="false">IF(J16&gt;=90,"A+",IF(J16&gt;=80,"A",IF(J16&gt;=70,"B+",IF(J16&gt;=60,"B",IF(J16&gt;=50,"C",IF(J16&gt;=40,"D","F"))))))</f>
        <v>A</v>
      </c>
      <c r="L16" s="10" t="n">
        <f aca="false">RANK(J16,J$5:J$19,0)</f>
        <v>5</v>
      </c>
      <c r="M16" s="10" t="str">
        <f aca="false">IF(AND(C16&gt;=35,D16&gt;=35,E16&gt;=35,F16&gt;=35,G16&gt;=35,H16&gt;=35),"✅ PASS","❌ FAIL")</f>
        <v>✅ PASS</v>
      </c>
      <c r="N16" s="10" t="str">
        <f aca="false">IF(J16&gt;=90,"Outstanding",IF(J16&gt;=80,"Excellent",IF(J16&gt;=70,"Very Good",IF(J16&gt;=60,"Good",IF(J16&gt;=50,"Average","Needs Improvement")))))</f>
        <v>Excellent</v>
      </c>
      <c r="O16" s="14" t="n">
        <v>96</v>
      </c>
    </row>
    <row r="17" customFormat="false" ht="15" hidden="false" customHeight="false" outlineLevel="0" collapsed="false">
      <c r="A17" s="4" t="n">
        <v>13</v>
      </c>
      <c r="B17" s="5" t="s">
        <v>29</v>
      </c>
      <c r="C17" s="4" t="n">
        <v>76</v>
      </c>
      <c r="D17" s="4" t="n">
        <v>80</v>
      </c>
      <c r="E17" s="4" t="n">
        <v>72</v>
      </c>
      <c r="F17" s="4" t="n">
        <v>78</v>
      </c>
      <c r="G17" s="4" t="n">
        <v>74</v>
      </c>
      <c r="H17" s="4" t="n">
        <v>82</v>
      </c>
      <c r="I17" s="6" t="n">
        <f aca="false">SUM(C17:H17)</f>
        <v>462</v>
      </c>
      <c r="J17" s="7" t="n">
        <f aca="false">ROUND(I17/600*100,2)</f>
        <v>77</v>
      </c>
      <c r="K17" s="8" t="str">
        <f aca="false">IF(J17&gt;=90,"A+",IF(J17&gt;=80,"A",IF(J17&gt;=70,"B+",IF(J17&gt;=60,"B",IF(J17&gt;=50,"C",IF(J17&gt;=40,"D","F"))))))</f>
        <v>B+</v>
      </c>
      <c r="L17" s="4" t="n">
        <f aca="false">RANK(J17,J$5:J$19,0)</f>
        <v>9</v>
      </c>
      <c r="M17" s="4" t="str">
        <f aca="false">IF(AND(C17&gt;=35,D17&gt;=35,E17&gt;=35,F17&gt;=35,G17&gt;=35,H17&gt;=35),"✅ PASS","❌ FAIL")</f>
        <v>✅ PASS</v>
      </c>
      <c r="N17" s="4" t="str">
        <f aca="false">IF(J17&gt;=90,"Outstanding",IF(J17&gt;=80,"Excellent",IF(J17&gt;=70,"Very Good",IF(J17&gt;=60,"Good",IF(J17&gt;=50,"Average","Needs Improvement")))))</f>
        <v>Very Good</v>
      </c>
      <c r="O17" s="9" t="n">
        <v>83</v>
      </c>
    </row>
    <row r="18" customFormat="false" ht="15" hidden="false" customHeight="false" outlineLevel="0" collapsed="false">
      <c r="A18" s="10" t="n">
        <v>14</v>
      </c>
      <c r="B18" s="11" t="s">
        <v>30</v>
      </c>
      <c r="C18" s="10" t="n">
        <v>62</v>
      </c>
      <c r="D18" s="10" t="n">
        <v>65</v>
      </c>
      <c r="E18" s="10" t="n">
        <v>70</v>
      </c>
      <c r="F18" s="10" t="n">
        <v>68</v>
      </c>
      <c r="G18" s="10" t="n">
        <v>66</v>
      </c>
      <c r="H18" s="10" t="n">
        <v>60</v>
      </c>
      <c r="I18" s="6" t="n">
        <f aca="false">SUM(C18:H18)</f>
        <v>391</v>
      </c>
      <c r="J18" s="12" t="n">
        <f aca="false">ROUND(I18/600*100,2)</f>
        <v>65.17</v>
      </c>
      <c r="K18" s="13" t="str">
        <f aca="false">IF(J18&gt;=90,"A+",IF(J18&gt;=80,"A",IF(J18&gt;=70,"B+",IF(J18&gt;=60,"B",IF(J18&gt;=50,"C",IF(J18&gt;=40,"D","F"))))))</f>
        <v>B</v>
      </c>
      <c r="L18" s="10" t="n">
        <f aca="false">RANK(J18,J$5:J$19,0)</f>
        <v>12</v>
      </c>
      <c r="M18" s="10" t="str">
        <f aca="false">IF(AND(C18&gt;=35,D18&gt;=35,E18&gt;=35,F18&gt;=35,G18&gt;=35,H18&gt;=35),"✅ PASS","❌ FAIL")</f>
        <v>✅ PASS</v>
      </c>
      <c r="N18" s="10" t="str">
        <f aca="false">IF(J18&gt;=90,"Outstanding",IF(J18&gt;=80,"Excellent",IF(J18&gt;=70,"Very Good",IF(J18&gt;=60,"Good",IF(J18&gt;=50,"Average","Needs Improvement")))))</f>
        <v>Good</v>
      </c>
      <c r="O18" s="14" t="n">
        <v>76</v>
      </c>
    </row>
    <row r="19" customFormat="false" ht="15" hidden="false" customHeight="false" outlineLevel="0" collapsed="false">
      <c r="A19" s="4" t="n">
        <v>15</v>
      </c>
      <c r="B19" s="5" t="s">
        <v>31</v>
      </c>
      <c r="C19" s="4" t="n">
        <v>93</v>
      </c>
      <c r="D19" s="4" t="n">
        <v>91</v>
      </c>
      <c r="E19" s="4" t="n">
        <v>95</v>
      </c>
      <c r="F19" s="4" t="n">
        <v>90</v>
      </c>
      <c r="G19" s="4" t="n">
        <v>94</v>
      </c>
      <c r="H19" s="4" t="n">
        <v>96</v>
      </c>
      <c r="I19" s="6" t="n">
        <f aca="false">SUM(C19:H19)</f>
        <v>559</v>
      </c>
      <c r="J19" s="7" t="n">
        <f aca="false">ROUND(I19/600*100,2)</f>
        <v>93.17</v>
      </c>
      <c r="K19" s="8" t="str">
        <f aca="false">IF(J19&gt;=90,"A+",IF(J19&gt;=80,"A",IF(J19&gt;=70,"B+",IF(J19&gt;=60,"B",IF(J19&gt;=50,"C",IF(J19&gt;=40,"D","F"))))))</f>
        <v>A+</v>
      </c>
      <c r="L19" s="4" t="n">
        <f aca="false">RANK(J19,J$5:J$19,0)</f>
        <v>1</v>
      </c>
      <c r="M19" s="4" t="str">
        <f aca="false">IF(AND(C19&gt;=35,D19&gt;=35,E19&gt;=35,F19&gt;=35,G19&gt;=35,H19&gt;=35),"✅ PASS","❌ FAIL")</f>
        <v>✅ PASS</v>
      </c>
      <c r="N19" s="4" t="str">
        <f aca="false">IF(J19&gt;=90,"Outstanding",IF(J19&gt;=80,"Excellent",IF(J19&gt;=70,"Very Good",IF(J19&gt;=60,"Good",IF(J19&gt;=50,"Average","Needs Improvement")))))</f>
        <v>Outstanding</v>
      </c>
      <c r="O19" s="9" t="n">
        <v>100</v>
      </c>
    </row>
    <row r="20" customFormat="false" ht="15" hidden="false" customHeight="false" outlineLevel="0" collapsed="false">
      <c r="A20" s="15" t="s">
        <v>32</v>
      </c>
      <c r="B20" s="15"/>
      <c r="C20" s="16" t="n">
        <f aca="false">ROUND(AVERAGE(C5:C19),1)</f>
        <v>76</v>
      </c>
      <c r="D20" s="16" t="n">
        <f aca="false">ROUND(AVERAGE(D5:D19),1)</f>
        <v>76.8</v>
      </c>
      <c r="E20" s="16" t="n">
        <f aca="false">ROUND(AVERAGE(E5:E19),1)</f>
        <v>77.9</v>
      </c>
      <c r="F20" s="16" t="n">
        <f aca="false">ROUND(AVERAGE(F5:F19),1)</f>
        <v>77.7</v>
      </c>
      <c r="G20" s="16" t="n">
        <f aca="false">ROUND(AVERAGE(G5:G19),1)</f>
        <v>75.7</v>
      </c>
      <c r="H20" s="16" t="n">
        <f aca="false">ROUND(AVERAGE(H5:H19),1)</f>
        <v>79.3</v>
      </c>
      <c r="I20" s="16" t="n">
        <f aca="false">ROUND(AVERAGE(I5:I19),1)</f>
        <v>463.4</v>
      </c>
      <c r="J20" s="16" t="n">
        <f aca="false">ROUND(AVERAGE(J5:J19),1)</f>
        <v>77.2</v>
      </c>
      <c r="K20" s="17"/>
      <c r="L20" s="17"/>
      <c r="M20" s="17"/>
      <c r="N20" s="17"/>
      <c r="O20" s="17"/>
    </row>
    <row r="21" customFormat="false" ht="15" hidden="false" customHeight="false" outlineLevel="0" collapsed="false">
      <c r="A21" s="18" t="s">
        <v>33</v>
      </c>
      <c r="B21" s="18"/>
      <c r="C21" s="19" t="n">
        <f aca="false">MAX(C5:C19)</f>
        <v>95</v>
      </c>
      <c r="D21" s="19" t="n">
        <f aca="false">MAX(D5:D19)</f>
        <v>95</v>
      </c>
      <c r="E21" s="19" t="n">
        <f aca="false">MAX(E5:E19)</f>
        <v>95</v>
      </c>
      <c r="F21" s="19" t="n">
        <f aca="false">MAX(F5:F19)</f>
        <v>92</v>
      </c>
      <c r="G21" s="19" t="n">
        <f aca="false">MAX(G5:G19)</f>
        <v>94</v>
      </c>
      <c r="H21" s="19" t="n">
        <f aca="false">MAX(H5:H19)</f>
        <v>97</v>
      </c>
      <c r="I21" s="19" t="n">
        <f aca="false">MAX(I5:I19)</f>
        <v>559</v>
      </c>
      <c r="J21" s="19" t="n">
        <f aca="false">MAX(J5:J19)</f>
        <v>93.17</v>
      </c>
      <c r="K21" s="20"/>
      <c r="L21" s="20"/>
      <c r="M21" s="20"/>
      <c r="N21" s="20"/>
      <c r="O21" s="20"/>
    </row>
    <row r="22" customFormat="false" ht="15" hidden="false" customHeight="false" outlineLevel="0" collapsed="false">
      <c r="A22" s="21" t="s">
        <v>34</v>
      </c>
      <c r="B22" s="21"/>
      <c r="C22" s="22" t="n">
        <f aca="false">MIN(C5:C19)</f>
        <v>45</v>
      </c>
      <c r="D22" s="22" t="n">
        <f aca="false">MIN(D5:D19)</f>
        <v>50</v>
      </c>
      <c r="E22" s="22" t="n">
        <f aca="false">MIN(E5:E19)</f>
        <v>55</v>
      </c>
      <c r="F22" s="22" t="n">
        <f aca="false">MIN(F5:F19)</f>
        <v>60</v>
      </c>
      <c r="G22" s="22" t="n">
        <f aca="false">MIN(G5:G19)</f>
        <v>48</v>
      </c>
      <c r="H22" s="22" t="n">
        <f aca="false">MIN(H5:H19)</f>
        <v>52</v>
      </c>
      <c r="I22" s="22" t="n">
        <f aca="false">MIN(I5:I19)</f>
        <v>310</v>
      </c>
      <c r="J22" s="22" t="n">
        <f aca="false">MIN(J5:J19)</f>
        <v>51.67</v>
      </c>
      <c r="K22" s="23"/>
      <c r="L22" s="23"/>
      <c r="M22" s="23"/>
      <c r="N22" s="23"/>
      <c r="O22" s="23"/>
    </row>
  </sheetData>
  <mergeCells count="5">
    <mergeCell ref="A1:O1"/>
    <mergeCell ref="A2:O2"/>
    <mergeCell ref="A20:B20"/>
    <mergeCell ref="A21:B21"/>
    <mergeCell ref="A22:B22"/>
  </mergeCells>
  <conditionalFormatting sqref="J5:J19">
    <cfRule type="colorScale" priority="2">
      <colorScale>
        <cfvo type="min" val="0"/>
        <cfvo type="percentile" val="50"/>
        <cfvo type="max" val="0"/>
        <color rgb="FFFF6B6B"/>
        <color rgb="FFFFD93D"/>
        <color rgb="FF6BCB7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5"/>
  </cols>
  <sheetData>
    <row r="1" customFormat="false" ht="31.5" hidden="false" customHeight="true" outlineLevel="0" collapsed="false">
      <c r="A1" s="24" t="s">
        <v>35</v>
      </c>
      <c r="B1" s="24"/>
      <c r="C1" s="24"/>
      <c r="D1" s="24"/>
      <c r="E1" s="24"/>
      <c r="F1" s="24"/>
      <c r="G1" s="24"/>
      <c r="H1" s="24"/>
    </row>
    <row r="3" customFormat="false" ht="15" hidden="false" customHeight="false" outlineLevel="0" collapsed="false">
      <c r="A3" s="25" t="s">
        <v>12</v>
      </c>
      <c r="B3" s="25" t="s">
        <v>36</v>
      </c>
      <c r="C3" s="25" t="s">
        <v>37</v>
      </c>
      <c r="D3" s="25" t="s">
        <v>38</v>
      </c>
      <c r="F3" s="26" t="s">
        <v>39</v>
      </c>
      <c r="G3" s="26"/>
      <c r="H3" s="26"/>
    </row>
    <row r="4" customFormat="false" ht="15" hidden="false" customHeight="false" outlineLevel="0" collapsed="false">
      <c r="A4" s="27" t="s">
        <v>40</v>
      </c>
      <c r="B4" s="27" t="s">
        <v>41</v>
      </c>
      <c r="C4" s="28" t="n">
        <f aca="false">COUNTIF('Student Grades'!K5:K19,"A+")</f>
        <v>2</v>
      </c>
      <c r="D4" s="28" t="n">
        <f aca="false">ROUND(C4/15*100,1)</f>
        <v>13.3</v>
      </c>
      <c r="F4" s="29" t="s">
        <v>42</v>
      </c>
      <c r="G4" s="30" t="n">
        <f aca="false">COUNTA('Student Grades'!A5:A19)</f>
        <v>15</v>
      </c>
      <c r="H4" s="30"/>
    </row>
    <row r="5" customFormat="false" ht="15" hidden="false" customHeight="false" outlineLevel="0" collapsed="false">
      <c r="A5" s="31" t="s">
        <v>43</v>
      </c>
      <c r="B5" s="31" t="s">
        <v>44</v>
      </c>
      <c r="C5" s="32" t="n">
        <f aca="false">COUNTIF('Student Grades'!K5:K19,"A")</f>
        <v>5</v>
      </c>
      <c r="D5" s="32" t="n">
        <f aca="false">ROUND(C5/15*100,1)</f>
        <v>33.3</v>
      </c>
      <c r="F5" s="33" t="s">
        <v>45</v>
      </c>
      <c r="G5" s="30" t="n">
        <f aca="false">COUNTIF('Student Grades'!M5:M19,"✅ PASS")</f>
        <v>15</v>
      </c>
      <c r="H5" s="30"/>
    </row>
    <row r="6" customFormat="false" ht="15" hidden="false" customHeight="false" outlineLevel="0" collapsed="false">
      <c r="A6" s="34" t="s">
        <v>46</v>
      </c>
      <c r="B6" s="34" t="s">
        <v>47</v>
      </c>
      <c r="C6" s="28" t="n">
        <f aca="false">COUNTIF('Student Grades'!K5:K19,"B+")</f>
        <v>4</v>
      </c>
      <c r="D6" s="28" t="n">
        <f aca="false">ROUND(C6/15*100,1)</f>
        <v>26.7</v>
      </c>
      <c r="F6" s="35" t="s">
        <v>48</v>
      </c>
      <c r="G6" s="30" t="n">
        <f aca="false">COUNTIF('Student Grades'!M5:M19,"❌ FAIL")</f>
        <v>0</v>
      </c>
      <c r="H6" s="30"/>
    </row>
    <row r="7" customFormat="false" ht="15" hidden="false" customHeight="false" outlineLevel="0" collapsed="false">
      <c r="A7" s="36" t="s">
        <v>49</v>
      </c>
      <c r="B7" s="36" t="s">
        <v>50</v>
      </c>
      <c r="C7" s="32" t="n">
        <f aca="false">COUNTIF('Student Grades'!K5:K19,"B")</f>
        <v>3</v>
      </c>
      <c r="D7" s="32" t="n">
        <f aca="false">ROUND(C7/15*100,1)</f>
        <v>20</v>
      </c>
      <c r="F7" s="37" t="s">
        <v>51</v>
      </c>
      <c r="G7" s="30" t="n">
        <f aca="false">ROUND(AVERAGE('Student Grades'!J5:J19),2)</f>
        <v>77.23</v>
      </c>
      <c r="H7" s="30"/>
    </row>
    <row r="8" customFormat="false" ht="15" hidden="false" customHeight="false" outlineLevel="0" collapsed="false">
      <c r="A8" s="38" t="s">
        <v>52</v>
      </c>
      <c r="B8" s="38" t="s">
        <v>53</v>
      </c>
      <c r="C8" s="28" t="n">
        <f aca="false">COUNTIF('Student Grades'!K5:K19,"C")</f>
        <v>1</v>
      </c>
      <c r="D8" s="28" t="n">
        <f aca="false">ROUND(C8/15*100,1)</f>
        <v>6.7</v>
      </c>
      <c r="F8" s="39" t="s">
        <v>54</v>
      </c>
      <c r="G8" s="30" t="n">
        <f aca="false">MAX('Student Grades'!J5:J19)</f>
        <v>93.17</v>
      </c>
      <c r="H8" s="30"/>
    </row>
    <row r="9" customFormat="false" ht="15" hidden="false" customHeight="false" outlineLevel="0" collapsed="false">
      <c r="A9" s="40" t="s">
        <v>55</v>
      </c>
      <c r="B9" s="40" t="s">
        <v>56</v>
      </c>
      <c r="C9" s="32" t="n">
        <f aca="false">COUNTIF('Student Grades'!K5:K19,"D")</f>
        <v>0</v>
      </c>
      <c r="D9" s="32" t="n">
        <f aca="false">ROUND(C9/15*100,1)</f>
        <v>0</v>
      </c>
      <c r="F9" s="41" t="s">
        <v>57</v>
      </c>
      <c r="G9" s="30" t="n">
        <f aca="false">MIN('Student Grades'!J5:J19)</f>
        <v>51.67</v>
      </c>
      <c r="H9" s="30"/>
    </row>
    <row r="10" customFormat="false" ht="15" hidden="false" customHeight="false" outlineLevel="0" collapsed="false">
      <c r="A10" s="42" t="s">
        <v>58</v>
      </c>
      <c r="B10" s="42" t="s">
        <v>59</v>
      </c>
      <c r="C10" s="28" t="n">
        <f aca="false">COUNTIF('Student Grades'!K5:K19,"F")</f>
        <v>0</v>
      </c>
      <c r="D10" s="28" t="n">
        <f aca="false">ROUND(C10/15*100,1)</f>
        <v>0</v>
      </c>
    </row>
  </sheetData>
  <mergeCells count="8">
    <mergeCell ref="A1:H1"/>
    <mergeCell ref="F3:H3"/>
    <mergeCell ref="G4:H4"/>
    <mergeCell ref="G5:H5"/>
    <mergeCell ref="G6:H6"/>
    <mergeCell ref="G7:H7"/>
    <mergeCell ref="G8:H8"/>
    <mergeCell ref="G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</cols>
  <sheetData>
    <row r="1" customFormat="false" ht="30" hidden="false" customHeight="true" outlineLevel="0" collapsed="false">
      <c r="A1" s="43" t="s">
        <v>60</v>
      </c>
      <c r="B1" s="43"/>
      <c r="C1" s="43"/>
      <c r="D1" s="43"/>
    </row>
    <row r="3" customFormat="false" ht="15" hidden="false" customHeight="false" outlineLevel="0" collapsed="false">
      <c r="A3" s="25" t="s">
        <v>12</v>
      </c>
      <c r="B3" s="25" t="s">
        <v>38</v>
      </c>
      <c r="C3" s="25" t="s">
        <v>15</v>
      </c>
    </row>
    <row r="4" customFormat="false" ht="15" hidden="false" customHeight="false" outlineLevel="0" collapsed="false">
      <c r="A4" s="44" t="s">
        <v>40</v>
      </c>
      <c r="B4" s="44" t="s">
        <v>61</v>
      </c>
      <c r="C4" s="28" t="s">
        <v>62</v>
      </c>
    </row>
    <row r="5" customFormat="false" ht="15" hidden="false" customHeight="false" outlineLevel="0" collapsed="false">
      <c r="A5" s="45" t="s">
        <v>43</v>
      </c>
      <c r="B5" s="45" t="s">
        <v>63</v>
      </c>
      <c r="C5" s="32" t="s">
        <v>64</v>
      </c>
    </row>
    <row r="6" customFormat="false" ht="15" hidden="false" customHeight="false" outlineLevel="0" collapsed="false">
      <c r="A6" s="46" t="s">
        <v>46</v>
      </c>
      <c r="B6" s="46" t="s">
        <v>65</v>
      </c>
      <c r="C6" s="28" t="s">
        <v>66</v>
      </c>
    </row>
    <row r="7" customFormat="false" ht="15" hidden="false" customHeight="false" outlineLevel="0" collapsed="false">
      <c r="A7" s="47" t="s">
        <v>49</v>
      </c>
      <c r="B7" s="47" t="s">
        <v>67</v>
      </c>
      <c r="C7" s="32" t="s">
        <v>68</v>
      </c>
    </row>
    <row r="8" customFormat="false" ht="15" hidden="false" customHeight="false" outlineLevel="0" collapsed="false">
      <c r="A8" s="48" t="s">
        <v>52</v>
      </c>
      <c r="B8" s="48" t="s">
        <v>69</v>
      </c>
      <c r="C8" s="28" t="s">
        <v>70</v>
      </c>
    </row>
    <row r="9" customFormat="false" ht="15" hidden="false" customHeight="false" outlineLevel="0" collapsed="false">
      <c r="A9" s="49" t="s">
        <v>55</v>
      </c>
      <c r="B9" s="49" t="s">
        <v>71</v>
      </c>
      <c r="C9" s="32" t="s">
        <v>72</v>
      </c>
    </row>
    <row r="10" customFormat="false" ht="15" hidden="false" customHeight="false" outlineLevel="0" collapsed="false">
      <c r="A10" s="50" t="s">
        <v>58</v>
      </c>
      <c r="B10" s="50" t="s">
        <v>73</v>
      </c>
      <c r="C10" s="28" t="s">
        <v>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2026-03-19T18:11:05Z</dcterms:created>
  <dc:creator>openpyxl</dc:creator>
  <dc:description/>
  <dc:language>en-US</dc:language>
  <cp:lastModifiedBy/>
  <dcterms:modified xsi:type="dcterms:W3CDTF">2026-03-19T18:11:06Z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